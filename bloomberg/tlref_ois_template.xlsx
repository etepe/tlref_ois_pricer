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IS Quotes" sheetId="2" state="visible" r:id="rId2"/>
    <sheet name="Offshore TRYI" sheetId="3" state="visible" r:id="rId3"/>
    <sheet name="Bonds" sheetId="4" state="visible" r:id="rId4"/>
    <sheet name="BISTTREF" sheetId="5" state="visible" r:id="rId5"/>
    <sheet name="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0000"/>
  </numFmts>
  <fonts count="13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sz val="11"/>
    </font>
    <font>
      <i val="1"/>
      <color rgb="006B7280"/>
      <sz val="9"/>
    </font>
    <font>
      <b val="1"/>
    </font>
    <font>
      <b val="1"/>
      <color rgb="001F6FEB"/>
    </font>
    <font>
      <b val="1"/>
      <color rgb="003FB950"/>
    </font>
    <font>
      <b val="1"/>
      <color rgb="00FFFFFF"/>
      <sz val="10"/>
    </font>
    <font>
      <b val="1"/>
      <sz val="10"/>
    </font>
    <font>
      <name val="Consolas"/>
      <sz val="10"/>
    </font>
    <font>
      <sz val="10"/>
    </font>
    <font>
      <name val="Consolas"/>
      <color rgb="006B7280"/>
      <sz val="9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2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1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165" fontId="0" fillId="0" borderId="1" pivotButton="0" quotePrefix="0" xfId="0"/>
    <xf numFmtId="0" fontId="11" fillId="0" borderId="1" pivotButton="0" quotePrefix="0" xfId="0"/>
    <xf numFmtId="166" fontId="0" fillId="0" borderId="1" pivotButton="0" quotePrefix="0" xfId="0"/>
    <xf numFmtId="0" fontId="10" fillId="0" borderId="1" applyAlignment="1" pivotButton="0" quotePrefix="0" xfId="0">
      <alignment horizontal="left"/>
    </xf>
    <xf numFmtId="164" fontId="10" fillId="0" borderId="1" applyAlignment="1" pivotButton="0" quotePrefix="0" xfId="0">
      <alignment horizontal="right"/>
    </xf>
    <xf numFmtId="0" fontId="7" fillId="2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TLREF OIS Pricer — Bloomberg Data Template</t>
        </is>
      </c>
    </row>
    <row r="3" ht="45" customHeight="1">
      <c r="A3" s="2" t="inlineStr">
        <is>
          <t>This workbook fetches the market data the pricer needs from Bloomberg and exports it in a format that can be dropped back into src/data/ TypeScript files.</t>
        </is>
      </c>
    </row>
    <row r="5">
      <c r="A5" s="3" t="inlineStr">
        <is>
          <t>How to use</t>
        </is>
      </c>
    </row>
    <row r="6" ht="22" customHeight="1">
      <c r="A6" s="4" t="inlineStr">
        <is>
          <t>1. Open on a Bloomberg-connected machine (Office add-in loaded).</t>
        </is>
      </c>
    </row>
    <row r="7" ht="22" customHeight="1">
      <c r="A7" s="4" t="inlineStr">
        <is>
          <t>2. Open each data sheet (OIS Quotes, Offshore TRYI, Bonds, BISTTREF).</t>
        </is>
      </c>
    </row>
    <row r="8" ht="22" customHeight="1">
      <c r="A8" s="4" t="inlineStr">
        <is>
          <t>3. In the 'Formula' column, replace the quoted text with the live    BDP formula (remove the leading apostrophe).</t>
        </is>
      </c>
    </row>
    <row r="9" ht="22" customHeight="1">
      <c r="A9" s="4" t="inlineStr">
        <is>
          <t>4. Paste values into the Bid/Ask/Rate/Last/Maturity columns — or    leave the BDP formulas live and let Excel refresh.</t>
        </is>
      </c>
    </row>
    <row r="10" ht="22" customHeight="1">
      <c r="A10" s="4" t="inlineStr">
        <is>
          <t>5. Save the workbook and commit it back to this repo. A follow-up    script reads the values and regenerates src/data/*.ts.</t>
        </is>
      </c>
    </row>
    <row r="13">
      <c r="A13" s="3" t="inlineStr">
        <is>
          <t>Conventions</t>
        </is>
      </c>
    </row>
    <row r="14">
      <c r="A14" t="inlineStr">
        <is>
          <t>Onshore OIS:   Act/365, T+1 settlement, Modified Following.</t>
        </is>
      </c>
    </row>
    <row r="15">
      <c r="A15" t="inlineStr">
        <is>
          <t>Offshore TRYI: Act/360, DF direct from Bloomberg screen.</t>
        </is>
      </c>
    </row>
    <row r="16">
      <c r="A16" t="inlineStr">
        <is>
          <t>Bonds:         TRT/TRB ISINs, Maturity + PX_LAST, coupon/freq as in bonds.ts.</t>
        </is>
      </c>
    </row>
    <row r="17">
      <c r="A17" t="inlineStr">
        <is>
          <t>BISTTREF:      O/N TLREF fixing; Bloomberg field PX_LAST.</t>
        </is>
      </c>
    </row>
    <row r="19">
      <c r="A19" s="5" t="inlineStr">
        <is>
          <t>Trade date &amp; spot TLREF are entered on the OIS Quotes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8" customWidth="1" min="4" max="4"/>
    <col width="10" customWidth="1" min="5" max="5"/>
    <col width="10" customWidth="1" min="6" max="6"/>
    <col width="12" customWidth="1" min="7" max="7"/>
    <col width="50" customWidth="1" min="8" max="8"/>
  </cols>
  <sheetData>
    <row r="1">
      <c r="A1" s="1" t="inlineStr">
        <is>
          <t>Onshore TRY OIS (TYSO · Act/365)</t>
        </is>
      </c>
    </row>
    <row r="3">
      <c r="A3" s="6" t="inlineStr">
        <is>
          <t>Trade date:</t>
        </is>
      </c>
      <c r="B3" s="7">
        <f>TODAY()</f>
        <v/>
      </c>
      <c r="D3" s="6" t="inlineStr">
        <is>
          <t>BISTTREF (O/N):</t>
        </is>
      </c>
      <c r="E3" s="8">
        <f>BDP("BISTTREF Index", "PX_LAST")</f>
        <v/>
      </c>
    </row>
    <row r="5">
      <c r="A5" s="9" t="inlineStr">
        <is>
          <t>Tenor</t>
        </is>
      </c>
      <c r="B5" s="9" t="inlineStr">
        <is>
          <t>Ticker</t>
        </is>
      </c>
      <c r="C5" s="9" t="inlineStr">
        <is>
          <t>Months</t>
        </is>
      </c>
      <c r="D5" s="9" t="inlineStr">
        <is>
          <t>Days</t>
        </is>
      </c>
      <c r="E5" s="9" t="inlineStr">
        <is>
          <t>Bid</t>
        </is>
      </c>
      <c r="F5" s="9" t="inlineStr">
        <is>
          <t>Ask</t>
        </is>
      </c>
      <c r="G5" s="9" t="inlineStr">
        <is>
          <t>Mid (auto)</t>
        </is>
      </c>
      <c r="H5" s="9" t="inlineStr">
        <is>
          <t>BDP formula hint</t>
        </is>
      </c>
    </row>
    <row r="6">
      <c r="A6" s="10" t="inlineStr">
        <is>
          <t>1W</t>
        </is>
      </c>
      <c r="B6" s="11" t="inlineStr">
        <is>
          <t>TYSO1Z GFOF Curncy</t>
        </is>
      </c>
      <c r="C6" s="12" t="n">
        <v>0</v>
      </c>
      <c r="D6" s="12" t="n">
        <v>7</v>
      </c>
      <c r="E6" s="13" t="n"/>
      <c r="F6" s="13" t="n"/>
      <c r="G6" s="14">
        <f>IFERROR((E6+F6)/2, "")</f>
        <v/>
      </c>
      <c r="H6" s="15" t="inlineStr">
        <is>
          <t>'=BDP("TYSO1Z GFOF Curncy", "PX_BID") | =BDP("TYSO1Z GFOF Curncy", "PX_ASK")</t>
        </is>
      </c>
    </row>
    <row r="7">
      <c r="A7" s="10" t="inlineStr">
        <is>
          <t>2W</t>
        </is>
      </c>
      <c r="B7" s="11" t="inlineStr">
        <is>
          <t>TYSO2Z GFOF Curncy</t>
        </is>
      </c>
      <c r="C7" s="12" t="n">
        <v>0</v>
      </c>
      <c r="D7" s="12" t="n">
        <v>14</v>
      </c>
      <c r="E7" s="13" t="n"/>
      <c r="F7" s="13" t="n"/>
      <c r="G7" s="14">
        <f>IFERROR((E7+F7)/2, "")</f>
        <v/>
      </c>
      <c r="H7" s="15" t="inlineStr">
        <is>
          <t>'=BDP("TYSO2Z GFOF Curncy", "PX_BID") | =BDP("TYSO2Z GFOF Curncy", "PX_ASK")</t>
        </is>
      </c>
    </row>
    <row r="8">
      <c r="A8" s="10" t="inlineStr">
        <is>
          <t>1M</t>
        </is>
      </c>
      <c r="B8" s="11" t="inlineStr">
        <is>
          <t>TYSOA GFOF Curncy</t>
        </is>
      </c>
      <c r="C8" s="12" t="n">
        <v>1</v>
      </c>
      <c r="D8" s="12" t="n">
        <v>0</v>
      </c>
      <c r="E8" s="13" t="n"/>
      <c r="F8" s="13" t="n"/>
      <c r="G8" s="14">
        <f>IFERROR((E8+F8)/2, "")</f>
        <v/>
      </c>
      <c r="H8" s="15" t="inlineStr">
        <is>
          <t>'=BDP("TYSOA GFOF Curncy", "PX_BID") | =BDP("TYSOA GFOF Curncy", "PX_ASK")</t>
        </is>
      </c>
    </row>
    <row r="9">
      <c r="A9" s="10" t="inlineStr">
        <is>
          <t>2M</t>
        </is>
      </c>
      <c r="B9" s="11" t="inlineStr">
        <is>
          <t>TYSOB GFOF Curncy</t>
        </is>
      </c>
      <c r="C9" s="12" t="n">
        <v>2</v>
      </c>
      <c r="D9" s="12" t="n">
        <v>0</v>
      </c>
      <c r="E9" s="13" t="n"/>
      <c r="F9" s="13" t="n"/>
      <c r="G9" s="14">
        <f>IFERROR((E9+F9)/2, "")</f>
        <v/>
      </c>
      <c r="H9" s="15" t="inlineStr">
        <is>
          <t>'=BDP("TYSOB GFOF Curncy", "PX_BID") | =BDP("TYSOB GFOF Curncy", "PX_ASK")</t>
        </is>
      </c>
    </row>
    <row r="10">
      <c r="A10" s="10" t="inlineStr">
        <is>
          <t>3M</t>
        </is>
      </c>
      <c r="B10" s="11" t="inlineStr">
        <is>
          <t>TYSOC GFOF Curncy</t>
        </is>
      </c>
      <c r="C10" s="12" t="n">
        <v>3</v>
      </c>
      <c r="D10" s="12" t="n">
        <v>0</v>
      </c>
      <c r="E10" s="13" t="n"/>
      <c r="F10" s="13" t="n"/>
      <c r="G10" s="14">
        <f>IFERROR((E10+F10)/2, "")</f>
        <v/>
      </c>
      <c r="H10" s="15" t="inlineStr">
        <is>
          <t>'=BDP("TYSOC GFOF Curncy", "PX_BID") | =BDP("TYSOC GFOF Curncy", "PX_ASK")</t>
        </is>
      </c>
    </row>
    <row r="11">
      <c r="A11" s="10" t="inlineStr">
        <is>
          <t>6M</t>
        </is>
      </c>
      <c r="B11" s="11" t="inlineStr">
        <is>
          <t>TYSOF GFOF Curncy</t>
        </is>
      </c>
      <c r="C11" s="12" t="n">
        <v>6</v>
      </c>
      <c r="D11" s="12" t="n">
        <v>0</v>
      </c>
      <c r="E11" s="13" t="n"/>
      <c r="F11" s="13" t="n"/>
      <c r="G11" s="14">
        <f>IFERROR((E11+F11)/2, "")</f>
        <v/>
      </c>
      <c r="H11" s="15" t="inlineStr">
        <is>
          <t>'=BDP("TYSOF GFOF Curncy", "PX_BID") | =BDP("TYSOF GFOF Curncy", "PX_ASK")</t>
        </is>
      </c>
    </row>
    <row r="12">
      <c r="A12" s="10" t="inlineStr">
        <is>
          <t>9M</t>
        </is>
      </c>
      <c r="B12" s="11" t="inlineStr">
        <is>
          <t>TYSOI GFOF Curncy</t>
        </is>
      </c>
      <c r="C12" s="12" t="n">
        <v>9</v>
      </c>
      <c r="D12" s="12" t="n">
        <v>0</v>
      </c>
      <c r="E12" s="13" t="n"/>
      <c r="F12" s="13" t="n"/>
      <c r="G12" s="14">
        <f>IFERROR((E12+F12)/2, "")</f>
        <v/>
      </c>
      <c r="H12" s="15" t="inlineStr">
        <is>
          <t>'=BDP("TYSOI GFOF Curncy", "PX_BID") | =BDP("TYSOI GFOF Curncy", "PX_ASK")</t>
        </is>
      </c>
    </row>
    <row r="13">
      <c r="A13" s="10" t="inlineStr">
        <is>
          <t>1Y</t>
        </is>
      </c>
      <c r="B13" s="11" t="inlineStr">
        <is>
          <t>TYSO1 GFOF Curncy</t>
        </is>
      </c>
      <c r="C13" s="12" t="n">
        <v>12</v>
      </c>
      <c r="D13" s="12" t="n">
        <v>0</v>
      </c>
      <c r="E13" s="13" t="n"/>
      <c r="F13" s="13" t="n"/>
      <c r="G13" s="14">
        <f>IFERROR((E13+F13)/2, "")</f>
        <v/>
      </c>
      <c r="H13" s="15" t="inlineStr">
        <is>
          <t>'=BDP("TYSO1 GFOF Curncy", "PX_BID") | =BDP("TYSO1 GFOF Curncy", "PX_ASK")</t>
        </is>
      </c>
    </row>
    <row r="14">
      <c r="A14" s="10" t="inlineStr">
        <is>
          <t>18M</t>
        </is>
      </c>
      <c r="B14" s="11" t="inlineStr">
        <is>
          <t>TYSO1F GFOF Curncy</t>
        </is>
      </c>
      <c r="C14" s="12" t="n">
        <v>18</v>
      </c>
      <c r="D14" s="12" t="n">
        <v>0</v>
      </c>
      <c r="E14" s="13" t="n"/>
      <c r="F14" s="13" t="n"/>
      <c r="G14" s="14">
        <f>IFERROR((E14+F14)/2, "")</f>
        <v/>
      </c>
      <c r="H14" s="15" t="inlineStr">
        <is>
          <t>'=BDP("TYSO1F GFOF Curncy", "PX_BID") | =BDP("TYSO1F GFOF Curncy", "PX_ASK")</t>
        </is>
      </c>
    </row>
    <row r="15">
      <c r="A15" s="10" t="inlineStr">
        <is>
          <t>2Y</t>
        </is>
      </c>
      <c r="B15" s="11" t="inlineStr">
        <is>
          <t>TYSO2 GFOF Curncy</t>
        </is>
      </c>
      <c r="C15" s="12" t="n">
        <v>24</v>
      </c>
      <c r="D15" s="12" t="n">
        <v>0</v>
      </c>
      <c r="E15" s="13" t="n"/>
      <c r="F15" s="13" t="n"/>
      <c r="G15" s="14">
        <f>IFERROR((E15+F15)/2, "")</f>
        <v/>
      </c>
      <c r="H15" s="15" t="inlineStr">
        <is>
          <t>'=BDP("TYSO2 GFOF Curncy", "PX_BID") | =BDP("TYSO2 GFOF Curncy", "PX_ASK")</t>
        </is>
      </c>
    </row>
    <row r="16">
      <c r="A16" s="10" t="inlineStr">
        <is>
          <t>3Y</t>
        </is>
      </c>
      <c r="B16" s="11" t="inlineStr">
        <is>
          <t>TYSO3 GFOF Curncy</t>
        </is>
      </c>
      <c r="C16" s="12" t="n">
        <v>36</v>
      </c>
      <c r="D16" s="12" t="n">
        <v>0</v>
      </c>
      <c r="E16" s="13" t="n"/>
      <c r="F16" s="13" t="n"/>
      <c r="G16" s="14">
        <f>IFERROR((E16+F16)/2, "")</f>
        <v/>
      </c>
      <c r="H16" s="15" t="inlineStr">
        <is>
          <t>'=BDP("TYSO3 GFOF Curncy", "PX_BID") | =BDP("TYSO3 GFOF Curncy", "PX_ASK")</t>
        </is>
      </c>
    </row>
    <row r="17">
      <c r="A17" s="10" t="inlineStr">
        <is>
          <t>4Y</t>
        </is>
      </c>
      <c r="B17" s="11" t="inlineStr">
        <is>
          <t>TYSO4 GFOF Curncy</t>
        </is>
      </c>
      <c r="C17" s="12" t="n">
        <v>48</v>
      </c>
      <c r="D17" s="12" t="n">
        <v>0</v>
      </c>
      <c r="E17" s="13" t="n"/>
      <c r="F17" s="13" t="n"/>
      <c r="G17" s="14">
        <f>IFERROR((E17+F17)/2, "")</f>
        <v/>
      </c>
      <c r="H17" s="15" t="inlineStr">
        <is>
          <t>'=BDP("TYSO4 GFOF Curncy", "PX_BID") | =BDP("TYSO4 GFOF Curncy", "PX_ASK")</t>
        </is>
      </c>
    </row>
    <row r="18">
      <c r="A18" s="10" t="inlineStr">
        <is>
          <t>5Y</t>
        </is>
      </c>
      <c r="B18" s="11" t="inlineStr">
        <is>
          <t>TYSO5 GFOF Curncy</t>
        </is>
      </c>
      <c r="C18" s="12" t="n">
        <v>60</v>
      </c>
      <c r="D18" s="12" t="n">
        <v>0</v>
      </c>
      <c r="E18" s="13" t="n"/>
      <c r="F18" s="13" t="n"/>
      <c r="G18" s="14">
        <f>IFERROR((E18+F18)/2, "")</f>
        <v/>
      </c>
      <c r="H18" s="15" t="inlineStr">
        <is>
          <t>'=BDP("TYSO5 GFOF Curncy", "PX_BID") | =BDP("TYSO5 GFOF Curncy", "PX_ASK")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4" customWidth="1" min="5" max="5"/>
    <col width="40" customWidth="1" min="6" max="6"/>
  </cols>
  <sheetData>
    <row r="1">
      <c r="A1" s="1" t="inlineStr">
        <is>
          <t>Offshore TRY (TRYI · Act/360)</t>
        </is>
      </c>
    </row>
    <row r="3">
      <c r="A3" s="9" t="inlineStr">
        <is>
          <t>Tenor</t>
        </is>
      </c>
      <c r="B3" s="9" t="inlineStr">
        <is>
          <t>Ticker</t>
        </is>
      </c>
      <c r="C3" s="9" t="inlineStr">
        <is>
          <t>Days</t>
        </is>
      </c>
      <c r="D3" s="9" t="inlineStr">
        <is>
          <t>Rate (%)</t>
        </is>
      </c>
      <c r="E3" s="9" t="inlineStr">
        <is>
          <t>DF (computed)</t>
        </is>
      </c>
      <c r="F3" s="9" t="inlineStr">
        <is>
          <t>BDP formula hint</t>
        </is>
      </c>
    </row>
    <row r="4">
      <c r="A4" s="10" t="inlineStr">
        <is>
          <t>ON</t>
        </is>
      </c>
      <c r="B4" s="11" t="inlineStr">
        <is>
          <t>TRYION Curncy</t>
        </is>
      </c>
      <c r="C4" s="12" t="n">
        <v>0</v>
      </c>
      <c r="D4" s="13" t="n"/>
      <c r="E4" s="16" t="n">
        <v>1</v>
      </c>
      <c r="F4" s="15" t="inlineStr">
        <is>
          <t>'=BDP("TRYION Curncy", "PX_LAST")</t>
        </is>
      </c>
    </row>
    <row r="5">
      <c r="A5" s="10" t="inlineStr">
        <is>
          <t>TN</t>
        </is>
      </c>
      <c r="B5" s="11" t="inlineStr">
        <is>
          <t>TRYITN Curncy</t>
        </is>
      </c>
      <c r="C5" s="12" t="n">
        <v>1</v>
      </c>
      <c r="D5" s="13" t="n"/>
      <c r="E5" s="16">
        <f>IFERROR(1/(1+D5/100*C5/360), "")</f>
        <v/>
      </c>
      <c r="F5" s="15" t="inlineStr">
        <is>
          <t>'=BDP("TRYITN Curncy", "PX_LAST")</t>
        </is>
      </c>
    </row>
    <row r="6">
      <c r="A6" s="10" t="inlineStr">
        <is>
          <t>1W</t>
        </is>
      </c>
      <c r="B6" s="11" t="inlineStr">
        <is>
          <t>TRYI1W Curncy</t>
        </is>
      </c>
      <c r="C6" s="12" t="n">
        <v>7</v>
      </c>
      <c r="D6" s="13" t="n"/>
      <c r="E6" s="16">
        <f>IFERROR(1/(1+D6/100*C6/360), "")</f>
        <v/>
      </c>
      <c r="F6" s="15" t="inlineStr">
        <is>
          <t>'=BDP("TRYI1W Curncy", "PX_LAST")</t>
        </is>
      </c>
    </row>
    <row r="7">
      <c r="A7" s="10" t="inlineStr">
        <is>
          <t>2W</t>
        </is>
      </c>
      <c r="B7" s="11" t="inlineStr">
        <is>
          <t>TRYI2W Curncy</t>
        </is>
      </c>
      <c r="C7" s="12" t="n">
        <v>14</v>
      </c>
      <c r="D7" s="13" t="n"/>
      <c r="E7" s="16">
        <f>IFERROR(1/(1+D7/100*C7/360), "")</f>
        <v/>
      </c>
      <c r="F7" s="15" t="inlineStr">
        <is>
          <t>'=BDP("TRYI2W Curncy", "PX_LAST")</t>
        </is>
      </c>
    </row>
    <row r="8">
      <c r="A8" s="10" t="inlineStr">
        <is>
          <t>1M</t>
        </is>
      </c>
      <c r="B8" s="11" t="inlineStr">
        <is>
          <t>TRYI1M Curncy</t>
        </is>
      </c>
      <c r="C8" s="12" t="n">
        <v>30</v>
      </c>
      <c r="D8" s="13" t="n"/>
      <c r="E8" s="16">
        <f>IFERROR(1/(1+D8/100*C8/360), "")</f>
        <v/>
      </c>
      <c r="F8" s="15" t="inlineStr">
        <is>
          <t>'=BDP("TRYI1M Curncy", "PX_LAST")</t>
        </is>
      </c>
    </row>
    <row r="9">
      <c r="A9" s="10" t="inlineStr">
        <is>
          <t>2M</t>
        </is>
      </c>
      <c r="B9" s="11" t="inlineStr">
        <is>
          <t>TRYI2M Curncy</t>
        </is>
      </c>
      <c r="C9" s="12" t="n">
        <v>63</v>
      </c>
      <c r="D9" s="13" t="n"/>
      <c r="E9" s="16">
        <f>IFERROR(1/(1+D9/100*C9/360), "")</f>
        <v/>
      </c>
      <c r="F9" s="15" t="inlineStr">
        <is>
          <t>'=BDP("TRYI2M Curncy", "PX_LAST")</t>
        </is>
      </c>
    </row>
    <row r="10">
      <c r="A10" s="10" t="inlineStr">
        <is>
          <t>3M</t>
        </is>
      </c>
      <c r="B10" s="11" t="inlineStr">
        <is>
          <t>TRYI3M Curncy</t>
        </is>
      </c>
      <c r="C10" s="12" t="n">
        <v>91</v>
      </c>
      <c r="D10" s="13" t="n"/>
      <c r="E10" s="16">
        <f>IFERROR(1/(1+D10/100*C10/360), "")</f>
        <v/>
      </c>
      <c r="F10" s="15" t="inlineStr">
        <is>
          <t>'=BDP("TRYI3M Curncy", "PX_LAST")</t>
        </is>
      </c>
    </row>
    <row r="11">
      <c r="A11" s="10" t="inlineStr">
        <is>
          <t>6M</t>
        </is>
      </c>
      <c r="B11" s="11" t="inlineStr">
        <is>
          <t>TRYI6M Curncy</t>
        </is>
      </c>
      <c r="C11" s="12" t="n">
        <v>183</v>
      </c>
      <c r="D11" s="13" t="n"/>
      <c r="E11" s="16">
        <f>IFERROR(1/(1+D11/100*C11/360), "")</f>
        <v/>
      </c>
      <c r="F11" s="15" t="inlineStr">
        <is>
          <t>'=BDP("TRYI6M Curncy", "PX_LAST")</t>
        </is>
      </c>
    </row>
    <row r="12">
      <c r="A12" s="10" t="inlineStr">
        <is>
          <t>9M</t>
        </is>
      </c>
      <c r="B12" s="11" t="inlineStr">
        <is>
          <t>TRYI9M Curncy</t>
        </is>
      </c>
      <c r="C12" s="12" t="n">
        <v>275</v>
      </c>
      <c r="D12" s="13" t="n"/>
      <c r="E12" s="16">
        <f>IFERROR(1/(1+D12/100*C12/360), "")</f>
        <v/>
      </c>
      <c r="F12" s="15" t="inlineStr">
        <is>
          <t>'=BDP("TRYI9M Curncy", "PX_LAST")</t>
        </is>
      </c>
    </row>
    <row r="13">
      <c r="A13" s="10" t="inlineStr">
        <is>
          <t>1Y</t>
        </is>
      </c>
      <c r="B13" s="11" t="inlineStr">
        <is>
          <t>TRYI12M Curncy</t>
        </is>
      </c>
      <c r="C13" s="12" t="n">
        <v>365</v>
      </c>
      <c r="D13" s="13" t="n"/>
      <c r="E13" s="16">
        <f>IFERROR(1/(1+D13/100*C13/360), "")</f>
        <v/>
      </c>
      <c r="F13" s="15" t="inlineStr">
        <is>
          <t>'=BDP("TRYI12M Curncy", "PX_LAST")</t>
        </is>
      </c>
    </row>
    <row r="14">
      <c r="A14" s="10" t="inlineStr">
        <is>
          <t>18M</t>
        </is>
      </c>
      <c r="B14" s="11" t="inlineStr">
        <is>
          <t>TRYI18M Curncy</t>
        </is>
      </c>
      <c r="C14" s="12" t="n">
        <v>548</v>
      </c>
      <c r="D14" s="13" t="n"/>
      <c r="E14" s="16">
        <f>IFERROR(1/(1+D14/100*C14/360), "")</f>
        <v/>
      </c>
      <c r="F14" s="15" t="inlineStr">
        <is>
          <t>'=BDP("TRYI18M Curncy", "PX_LAST")</t>
        </is>
      </c>
    </row>
    <row r="15">
      <c r="A15" s="10" t="inlineStr">
        <is>
          <t>2Y</t>
        </is>
      </c>
      <c r="B15" s="11" t="inlineStr">
        <is>
          <t>TRYI2Y Curncy</t>
        </is>
      </c>
      <c r="C15" s="12" t="n">
        <v>731</v>
      </c>
      <c r="D15" s="13" t="n"/>
      <c r="E15" s="16">
        <f>IFERROR(1/(1+D15/100*C15/360), "")</f>
        <v/>
      </c>
      <c r="F15" s="15" t="inlineStr">
        <is>
          <t>'=BDP("TRYI2Y Curncy", "PX_LAST")</t>
        </is>
      </c>
    </row>
    <row r="16">
      <c r="A16" s="10" t="inlineStr">
        <is>
          <t>3Y</t>
        </is>
      </c>
      <c r="B16" s="11" t="inlineStr">
        <is>
          <t>TRYI3Y Curncy</t>
        </is>
      </c>
      <c r="C16" s="12" t="n">
        <v>1096</v>
      </c>
      <c r="D16" s="13" t="n"/>
      <c r="E16" s="16">
        <f>IFERROR(1/(1+D16/100*C16/360), "")</f>
        <v/>
      </c>
      <c r="F16" s="15" t="inlineStr">
        <is>
          <t>'=BDP("TRYI3Y Curncy", "PX_LAST")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6" customWidth="1" min="3" max="3"/>
    <col width="7" customWidth="1" min="4" max="4"/>
    <col width="12" customWidth="1" min="5" max="5"/>
    <col width="10" customWidth="1" min="6" max="6"/>
    <col width="10" customWidth="1" min="7" max="7"/>
    <col width="70" customWidth="1" min="8" max="8"/>
  </cols>
  <sheetData>
    <row r="1">
      <c r="A1" s="1" t="inlineStr">
        <is>
          <t>TLREF Universe Bonds</t>
        </is>
      </c>
    </row>
    <row r="2">
      <c r="A2" s="5" t="inlineStr">
        <is>
          <t>Fill Maturity / Coupon / PX_LAST from Bloomberg. Type and Freq are static.</t>
        </is>
      </c>
    </row>
    <row r="4">
      <c r="A4" s="9" t="inlineStr">
        <is>
          <t>ISIN</t>
        </is>
      </c>
      <c r="B4" s="9" t="inlineStr">
        <is>
          <t>Security</t>
        </is>
      </c>
      <c r="C4" s="9" t="inlineStr">
        <is>
          <t>Type</t>
        </is>
      </c>
      <c r="D4" s="9" t="inlineStr">
        <is>
          <t>Freq/y</t>
        </is>
      </c>
      <c r="E4" s="9" t="inlineStr">
        <is>
          <t>Maturity</t>
        </is>
      </c>
      <c r="F4" s="9" t="inlineStr">
        <is>
          <t>Coupon (%)</t>
        </is>
      </c>
      <c r="G4" s="9" t="inlineStr">
        <is>
          <t>PX_LAST</t>
        </is>
      </c>
      <c r="H4" s="9" t="inlineStr">
        <is>
          <t>BDP formula hint</t>
        </is>
      </c>
    </row>
    <row r="5">
      <c r="A5" s="11" t="inlineStr">
        <is>
          <t>TRB170626T13</t>
        </is>
      </c>
      <c r="B5" s="11" t="inlineStr">
        <is>
          <t>TRB170626T13 Corp</t>
        </is>
      </c>
      <c r="C5" s="17" t="inlineStr">
        <is>
          <t>zcb</t>
        </is>
      </c>
      <c r="D5" s="12" t="n">
        <v>4</v>
      </c>
      <c r="E5" s="18" t="n"/>
      <c r="F5" s="13" t="n"/>
      <c r="G5" s="13" t="n"/>
      <c r="H5" s="15" t="inlineStr">
        <is>
          <t>'=BDP("TRB170626T13 Corp","MATURITY") | =BDP("TRB170626T13 Corp","CPN") | =BDP("TRB170626T13 Corp","PX_LAST")</t>
        </is>
      </c>
    </row>
    <row r="6">
      <c r="A6" s="11" t="inlineStr">
        <is>
          <t>TRT080726T13</t>
        </is>
      </c>
      <c r="B6" s="11" t="inlineStr">
        <is>
          <t>TRT080726T13 Corp</t>
        </is>
      </c>
      <c r="C6" s="17" t="inlineStr">
        <is>
          <t>flt</t>
        </is>
      </c>
      <c r="D6" s="12" t="n">
        <v>4</v>
      </c>
      <c r="E6" s="18" t="n"/>
      <c r="F6" s="13" t="n"/>
      <c r="G6" s="13" t="n"/>
      <c r="H6" s="15" t="inlineStr">
        <is>
          <t>'=BDP("TRT080726T13 Corp","MATURITY") | =BDP("TRT080726T13 Corp","CPN") | =BDP("TRT080726T13 Corp","PX_LAST")</t>
        </is>
      </c>
    </row>
    <row r="7">
      <c r="A7" s="11" t="inlineStr">
        <is>
          <t>TRT190826T19</t>
        </is>
      </c>
      <c r="B7" s="11" t="inlineStr">
        <is>
          <t>TRT190826T19 Corp</t>
        </is>
      </c>
      <c r="C7" s="17" t="inlineStr">
        <is>
          <t>flt</t>
        </is>
      </c>
      <c r="D7" s="12" t="n">
        <v>4</v>
      </c>
      <c r="E7" s="18" t="n"/>
      <c r="F7" s="13" t="n"/>
      <c r="G7" s="13" t="n"/>
      <c r="H7" s="15" t="inlineStr">
        <is>
          <t>'=BDP("TRT190826T19 Corp","MATURITY") | =BDP("TRT190826T19 Corp","CPN") | =BDP("TRT190826T19 Corp","PX_LAST")</t>
        </is>
      </c>
    </row>
    <row r="8">
      <c r="A8" s="11" t="inlineStr">
        <is>
          <t>TRT060127T10</t>
        </is>
      </c>
      <c r="B8" s="11" t="inlineStr">
        <is>
          <t>TRT060127T10 Corp</t>
        </is>
      </c>
      <c r="C8" s="17" t="inlineStr">
        <is>
          <t>zcb</t>
        </is>
      </c>
      <c r="D8" s="12" t="n">
        <v>0</v>
      </c>
      <c r="E8" s="18" t="n"/>
      <c r="F8" s="13" t="n"/>
      <c r="G8" s="13" t="n"/>
      <c r="H8" s="15" t="inlineStr">
        <is>
          <t>'=BDP("TRT060127T10 Corp","MATURITY") | =BDP("TRT060127T10 Corp","CPN") | =BDP("TRT060127T10 Corp","PX_LAST")</t>
        </is>
      </c>
    </row>
    <row r="9">
      <c r="A9" s="11" t="inlineStr">
        <is>
          <t>TRT130127T11</t>
        </is>
      </c>
      <c r="B9" s="11" t="inlineStr">
        <is>
          <t>TRT130127T11 Corp</t>
        </is>
      </c>
      <c r="C9" s="17" t="inlineStr">
        <is>
          <t>flt</t>
        </is>
      </c>
      <c r="D9" s="12" t="n">
        <v>4</v>
      </c>
      <c r="E9" s="18" t="n"/>
      <c r="F9" s="13" t="n"/>
      <c r="G9" s="13" t="n"/>
      <c r="H9" s="15" t="inlineStr">
        <is>
          <t>'=BDP("TRT130127T11 Corp","MATURITY") | =BDP("TRT130127T11 Corp","CPN") | =BDP("TRT130127T11 Corp","PX_LAST")</t>
        </is>
      </c>
    </row>
    <row r="10">
      <c r="A10" s="11" t="inlineStr">
        <is>
          <t>TRT160627T13</t>
        </is>
      </c>
      <c r="B10" s="11" t="inlineStr">
        <is>
          <t>TRT160627T13 Corp</t>
        </is>
      </c>
      <c r="C10" s="17" t="inlineStr">
        <is>
          <t>flt</t>
        </is>
      </c>
      <c r="D10" s="12" t="n">
        <v>4</v>
      </c>
      <c r="E10" s="18" t="n"/>
      <c r="F10" s="13" t="n"/>
      <c r="G10" s="13" t="n"/>
      <c r="H10" s="15" t="inlineStr">
        <is>
          <t>'=BDP("TRT160627T13 Corp","MATURITY") | =BDP("TRT160627T13 Corp","CPN") | =BDP("TRT160627T13 Corp","PX_LAST")</t>
        </is>
      </c>
    </row>
    <row r="11">
      <c r="A11" s="11" t="inlineStr">
        <is>
          <t>TRT140727T14</t>
        </is>
      </c>
      <c r="B11" s="11" t="inlineStr">
        <is>
          <t>TRT140727T14 Corp</t>
        </is>
      </c>
      <c r="C11" s="17" t="inlineStr">
        <is>
          <t>fix</t>
        </is>
      </c>
      <c r="D11" s="12" t="n">
        <v>2</v>
      </c>
      <c r="E11" s="18" t="n"/>
      <c r="F11" s="13" t="n"/>
      <c r="G11" s="13" t="n"/>
      <c r="H11" s="15" t="inlineStr">
        <is>
          <t>'=BDP("TRT140727T14 Corp","MATURITY") | =BDP("TRT140727T14 Corp","CPN") | =BDP("TRT140727T14 Corp","PX_LAST")</t>
        </is>
      </c>
    </row>
    <row r="12">
      <c r="A12" s="11" t="inlineStr">
        <is>
          <t>TRT131027T10</t>
        </is>
      </c>
      <c r="B12" s="11" t="inlineStr">
        <is>
          <t>TRT131027T10 Corp</t>
        </is>
      </c>
      <c r="C12" s="17" t="inlineStr">
        <is>
          <t>flt</t>
        </is>
      </c>
      <c r="D12" s="12" t="n">
        <v>4</v>
      </c>
      <c r="E12" s="18" t="n"/>
      <c r="F12" s="13" t="n"/>
      <c r="G12" s="13" t="n"/>
      <c r="H12" s="15" t="inlineStr">
        <is>
          <t>'=BDP("TRT131027T10 Corp","MATURITY") | =BDP("TRT131027T10 Corp","CPN") | =BDP("TRT131027T10 Corp","PX_LAST")</t>
        </is>
      </c>
    </row>
    <row r="13">
      <c r="A13" s="11" t="inlineStr">
        <is>
          <t>TRT131027T36</t>
        </is>
      </c>
      <c r="B13" s="11" t="inlineStr">
        <is>
          <t>TRT131027T36 Corp</t>
        </is>
      </c>
      <c r="C13" s="17" t="inlineStr">
        <is>
          <t>fix</t>
        </is>
      </c>
      <c r="D13" s="12" t="n">
        <v>2</v>
      </c>
      <c r="E13" s="18" t="n"/>
      <c r="F13" s="13" t="n"/>
      <c r="G13" s="13" t="n"/>
      <c r="H13" s="15" t="inlineStr">
        <is>
          <t>'=BDP("TRT131027T36 Corp","MATURITY") | =BDP("TRT131027T36 Corp","CPN") | =BDP("TRT131027T36 Corp","PX_LAST")</t>
        </is>
      </c>
    </row>
    <row r="14">
      <c r="A14" s="11" t="inlineStr">
        <is>
          <t>TRD171127T13</t>
        </is>
      </c>
      <c r="B14" s="11" t="inlineStr">
        <is>
          <t>TRD171127T13 Corp</t>
        </is>
      </c>
      <c r="C14" s="17" t="inlineStr">
        <is>
          <t>fix</t>
        </is>
      </c>
      <c r="D14" s="12" t="n">
        <v>2</v>
      </c>
      <c r="E14" s="18" t="n"/>
      <c r="F14" s="13" t="n"/>
      <c r="G14" s="13" t="n"/>
      <c r="H14" s="15" t="inlineStr">
        <is>
          <t>'=BDP("TRD171127T13 Corp","MATURITY") | =BDP("TRD171127T13 Corp","CPN") | =BDP("TRD171127T13 Corp","PX_LAST")</t>
        </is>
      </c>
    </row>
    <row r="15">
      <c r="A15" s="11" t="inlineStr">
        <is>
          <t>TRT190128T14</t>
        </is>
      </c>
      <c r="B15" s="11" t="inlineStr">
        <is>
          <t>TRT190128T14 Corp</t>
        </is>
      </c>
      <c r="C15" s="17" t="inlineStr">
        <is>
          <t>flt</t>
        </is>
      </c>
      <c r="D15" s="12" t="n">
        <v>4</v>
      </c>
      <c r="E15" s="18" t="n"/>
      <c r="F15" s="13" t="n"/>
      <c r="G15" s="13" t="n"/>
      <c r="H15" s="15" t="inlineStr">
        <is>
          <t>'=BDP("TRT190128T14 Corp","MATURITY") | =BDP("TRT190128T14 Corp","CPN") | =BDP("TRT190128T14 Corp","PX_LAST")</t>
        </is>
      </c>
    </row>
    <row r="16">
      <c r="A16" s="11" t="inlineStr">
        <is>
          <t>TRT010328T12</t>
        </is>
      </c>
      <c r="B16" s="11" t="inlineStr">
        <is>
          <t>TRT010328T12 Corp</t>
        </is>
      </c>
      <c r="C16" s="17" t="inlineStr">
        <is>
          <t>flt</t>
        </is>
      </c>
      <c r="D16" s="12" t="n">
        <v>4</v>
      </c>
      <c r="E16" s="18" t="n"/>
      <c r="F16" s="13" t="n"/>
      <c r="G16" s="13" t="n"/>
      <c r="H16" s="15" t="inlineStr">
        <is>
          <t>'=BDP("TRT010328T12 Corp","MATURITY") | =BDP("TRT010328T12 Corp","CPN") | =BDP("TRT010328T12 Corp","PX_LAST")</t>
        </is>
      </c>
    </row>
    <row r="17">
      <c r="A17" s="11" t="inlineStr">
        <is>
          <t>TRT170528T12</t>
        </is>
      </c>
      <c r="B17" s="11" t="inlineStr">
        <is>
          <t>TRT170528T12 Corp</t>
        </is>
      </c>
      <c r="C17" s="17" t="inlineStr">
        <is>
          <t>flt</t>
        </is>
      </c>
      <c r="D17" s="12" t="n">
        <v>4</v>
      </c>
      <c r="E17" s="18" t="n"/>
      <c r="F17" s="13" t="n"/>
      <c r="G17" s="13" t="n"/>
      <c r="H17" s="15" t="inlineStr">
        <is>
          <t>'=BDP("TRT170528T12 Corp","MATURITY") | =BDP("TRT170528T12 Corp","CPN") | =BDP("TRT170528T12 Corp","PX_LAST")</t>
        </is>
      </c>
    </row>
    <row r="18">
      <c r="A18" s="11" t="inlineStr">
        <is>
          <t>TRT060928T11</t>
        </is>
      </c>
      <c r="B18" s="11" t="inlineStr">
        <is>
          <t>TRT060928T11 Corp</t>
        </is>
      </c>
      <c r="C18" s="17" t="inlineStr">
        <is>
          <t>flt</t>
        </is>
      </c>
      <c r="D18" s="12" t="n">
        <v>4</v>
      </c>
      <c r="E18" s="18" t="n"/>
      <c r="F18" s="13" t="n"/>
      <c r="G18" s="13" t="n"/>
      <c r="H18" s="15" t="inlineStr">
        <is>
          <t>'=BDP("TRT060928T11 Corp","MATURITY") | =BDP("TRT060928T11 Corp","CPN") | =BDP("TRT060928T11 Corp","PX_LAST")</t>
        </is>
      </c>
    </row>
    <row r="19">
      <c r="A19" s="11" t="inlineStr">
        <is>
          <t>TRT081128T15</t>
        </is>
      </c>
      <c r="B19" s="11" t="inlineStr">
        <is>
          <t>TRT081128T15 Corp</t>
        </is>
      </c>
      <c r="C19" s="17" t="inlineStr">
        <is>
          <t>fix</t>
        </is>
      </c>
      <c r="D19" s="12" t="n">
        <v>2</v>
      </c>
      <c r="E19" s="18" t="n"/>
      <c r="F19" s="13" t="n"/>
      <c r="G19" s="13" t="n"/>
      <c r="H19" s="15" t="inlineStr">
        <is>
          <t>'=BDP("TRT081128T15 Corp","MATURITY") | =BDP("TRT081128T15 Corp","CPN") | =BDP("TRT081128T15 Corp","PX_LAST")</t>
        </is>
      </c>
    </row>
    <row r="20">
      <c r="A20" s="11" t="inlineStr">
        <is>
          <t>TRT061228T16</t>
        </is>
      </c>
      <c r="B20" s="11" t="inlineStr">
        <is>
          <t>TRT061228T16 Corp</t>
        </is>
      </c>
      <c r="C20" s="17" t="inlineStr">
        <is>
          <t>flt</t>
        </is>
      </c>
      <c r="D20" s="12" t="n">
        <v>4</v>
      </c>
      <c r="E20" s="18" t="n"/>
      <c r="F20" s="13" t="n"/>
      <c r="G20" s="13" t="n"/>
      <c r="H20" s="15" t="inlineStr">
        <is>
          <t>'=BDP("TRT061228T16 Corp","MATURITY") | =BDP("TRT061228T16 Corp","CPN") | =BDP("TRT061228T16 Corp","PX_LAST")</t>
        </is>
      </c>
    </row>
    <row r="21">
      <c r="A21" s="11" t="inlineStr">
        <is>
          <t>TRT070329T15</t>
        </is>
      </c>
      <c r="B21" s="11" t="inlineStr">
        <is>
          <t>TRT070329T15 Corp</t>
        </is>
      </c>
      <c r="C21" s="17" t="inlineStr">
        <is>
          <t>flt</t>
        </is>
      </c>
      <c r="D21" s="12" t="n">
        <v>4</v>
      </c>
      <c r="E21" s="18" t="n"/>
      <c r="F21" s="13" t="n"/>
      <c r="G21" s="13" t="n"/>
      <c r="H21" s="15" t="inlineStr">
        <is>
          <t>'=BDP("TRT070329T15 Corp","MATURITY") | =BDP("TRT070329T15 Corp","CPN") | =BDP("TRT070329T15 Corp","PX_LAST")</t>
        </is>
      </c>
    </row>
    <row r="22">
      <c r="A22" s="11" t="inlineStr">
        <is>
          <t>TRT040729T14</t>
        </is>
      </c>
      <c r="B22" s="11" t="inlineStr">
        <is>
          <t>TRT040729T14 Corp</t>
        </is>
      </c>
      <c r="C22" s="17" t="inlineStr">
        <is>
          <t>fix</t>
        </is>
      </c>
      <c r="D22" s="12" t="n">
        <v>2</v>
      </c>
      <c r="E22" s="18" t="n"/>
      <c r="F22" s="13" t="n"/>
      <c r="G22" s="13" t="n"/>
      <c r="H22" s="15" t="inlineStr">
        <is>
          <t>'=BDP("TRT040729T14 Corp","MATURITY") | =BDP("TRT040729T14 Corp","CPN") | =BDP("TRT040729T14 Corp","PX_LAST")</t>
        </is>
      </c>
    </row>
    <row r="23">
      <c r="A23" s="11" t="inlineStr">
        <is>
          <t>TRT130629T30</t>
        </is>
      </c>
      <c r="B23" s="11" t="inlineStr">
        <is>
          <t>TRT130629T30 Corp</t>
        </is>
      </c>
      <c r="C23" s="17" t="inlineStr">
        <is>
          <t>flt</t>
        </is>
      </c>
      <c r="D23" s="12" t="n">
        <v>4</v>
      </c>
      <c r="E23" s="18" t="n"/>
      <c r="F23" s="13" t="n"/>
      <c r="G23" s="13" t="n"/>
      <c r="H23" s="15" t="inlineStr">
        <is>
          <t>'=BDP("TRT130629T30 Corp","MATURITY") | =BDP("TRT130629T30 Corp","CPN") | =BDP("TRT130629T30 Corp","PX_LAST")</t>
        </is>
      </c>
    </row>
    <row r="24">
      <c r="A24" s="11" t="inlineStr">
        <is>
          <t>TRT120929T12</t>
        </is>
      </c>
      <c r="B24" s="11" t="inlineStr">
        <is>
          <t>TRT120929T12 Corp</t>
        </is>
      </c>
      <c r="C24" s="17" t="inlineStr">
        <is>
          <t>fix</t>
        </is>
      </c>
      <c r="D24" s="12" t="n">
        <v>2</v>
      </c>
      <c r="E24" s="18" t="n"/>
      <c r="F24" s="13" t="n"/>
      <c r="G24" s="13" t="n"/>
      <c r="H24" s="15" t="inlineStr">
        <is>
          <t>'=BDP("TRT120929T12 Corp","MATURITY") | =BDP("TRT120929T12 Corp","CPN") | =BDP("TRT120929T12 Corp","PX_LAST")</t>
        </is>
      </c>
    </row>
    <row r="25">
      <c r="A25" s="11" t="inlineStr">
        <is>
          <t>TRT090130T12</t>
        </is>
      </c>
      <c r="B25" s="11" t="inlineStr">
        <is>
          <t>TRT090130T12 Corp</t>
        </is>
      </c>
      <c r="C25" s="17" t="inlineStr">
        <is>
          <t>fix</t>
        </is>
      </c>
      <c r="D25" s="12" t="n">
        <v>2</v>
      </c>
      <c r="E25" s="18" t="n"/>
      <c r="F25" s="13" t="n"/>
      <c r="G25" s="13" t="n"/>
      <c r="H25" s="15" t="inlineStr">
        <is>
          <t>'=BDP("TRT090130T12 Corp","MATURITY") | =BDP("TRT090130T12 Corp","CPN") | =BDP("TRT090130T12 Corp","PX_LAST")</t>
        </is>
      </c>
    </row>
    <row r="26">
      <c r="A26" s="11" t="inlineStr">
        <is>
          <t>TRT100730T13</t>
        </is>
      </c>
      <c r="B26" s="11" t="inlineStr">
        <is>
          <t>TRT100730T13 Corp</t>
        </is>
      </c>
      <c r="C26" s="17" t="inlineStr">
        <is>
          <t>fix</t>
        </is>
      </c>
      <c r="D26" s="12" t="n">
        <v>2</v>
      </c>
      <c r="E26" s="18" t="n"/>
      <c r="F26" s="13" t="n"/>
      <c r="G26" s="13" t="n"/>
      <c r="H26" s="15" t="inlineStr">
        <is>
          <t>'=BDP("TRT100730T13 Corp","MATURITY") | =BDP("TRT100730T13 Corp","CPN") | =BDP("TRT100730T13 Corp","PX_LAST")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BISTTREF — O/N TLREF Reference Rate</t>
        </is>
      </c>
    </row>
    <row r="3">
      <c r="A3" s="19" t="inlineStr">
        <is>
          <t>Ticker</t>
        </is>
      </c>
      <c r="B3" s="19" t="inlineStr">
        <is>
          <t>PX_LAST</t>
        </is>
      </c>
    </row>
    <row r="4">
      <c r="A4" s="20" t="inlineStr">
        <is>
          <t>BISTTREF Index</t>
        </is>
      </c>
      <c r="B4" s="21">
        <f>BDP("BISTTREF Index", "PX_LAST")</f>
        <v/>
      </c>
    </row>
    <row r="6">
      <c r="A6" s="5" t="inlineStr">
        <is>
          <t>Used as the spot TLREF anchor in the Scenario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Round-trip back to src/data/</t>
        </is>
      </c>
    </row>
    <row r="3" ht="45" customHeight="1">
      <c r="A3" s="4" t="inlineStr">
        <is>
          <t>Once the data sheets are filled, copy-paste this Python snippet into the repo and run it — it reads this workbook and rewrites src/data/ois-quotes.ts, offshore-quotes.ts, bonds.ts.</t>
        </is>
      </c>
    </row>
    <row r="5" ht="260" customHeight="1">
      <c r="A5" s="22" t="inlineStr">
        <is>
          <t xml:space="preserve"># save as scripts/import_bbg_template.py
from openpyxl import load_workbook
from pathlib import Path
wb = load_workbook("bloomberg/tlref_ois_template.xlsx", data_only=True)
# --- OIS Quotes ---
ois_ws = wb["OIS Quotes"]
ois_rows = []
for r in range(6, 6 + 13):
    tenor = ois_ws.cell(row=r, column=1).value
    months = ois_ws.cell(row=r, column=3).value or 0
    days   = ois_ws.cell(row=r, column=4).value or 0
    bid    = ois_ws.cell(row=r, column=5).value
    ask    = ois_ws.cell(row=r, column=6).value
    if bid is None or ask is None:
        continue
    ois_rows.append((tenor, months, days, float(bid), float(ask)))
# Emit TS array (paste into src/data/ois-quotes.ts).
for t, mo, dy, b, a in ois_rows:
    print(f'  {{ tenor: "{t}", months: {mo}, days: {dy}, bid: {b}, ask: {a} }},')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2026-04-15T21:30:21Z</dcterms:created>
  <dcterms:modified xsi:type="dcterms:W3CDTF">2026-04-15T21:30:21Z</dcterms:modified>
</cp:coreProperties>
</file>